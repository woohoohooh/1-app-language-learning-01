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a">[3]расчет!#REF!</definedName>
    <definedName name="Excel_BuiltIn_Print_Titles">NA()</definedName>
    <definedName name="Excel_BuiltIn_Print_Titles_1">NA()</definedName>
    <definedName name="Excel_BuiltIn_Print_Titles_1_1">NA()</definedName>
    <definedName name="Prevodem">"Hotovost"</definedName>
    <definedName name="Spec">[3]расчет!#REF!</definedName>
    <definedName name="GTDHData">#REF!</definedName>
    <definedName name="EURRate">#REF!</definedName>
    <definedName name="DeliveryToBoardValue">#REF!</definedName>
    <definedName name="TotalBrutto">#REF!</definedName>
    <definedName name="Payments">#REF!</definedName>
    <definedName name="Compl">#REF!</definedName>
    <definedName name="Z_16AF4AE3_7F7B_11D6_90F3_000021440C3F_.wvu.Cols">#REF!</definedName>
    <definedName name="DclBrutto">#REF!</definedName>
    <definedName name="DutyVAT">#REF!</definedName>
    <definedName name="DclNetto">#REF!</definedName>
    <definedName name="GBPRate">#REF!</definedName>
    <definedName name="TotalCLL">#REF!</definedName>
    <definedName name="CountryName">#REF!</definedName>
    <definedName name="USDRate">#REF!</definedName>
    <definedName name="DclCertFrom">#REF!</definedName>
    <definedName name="DclAllClmn">#REF!</definedName>
    <definedName name="InsuranceValue">#REF!</definedName>
    <definedName name="Gesamt">#REF!</definedName>
    <definedName name="DTFactPriceMU">#REF!</definedName>
    <definedName name="Kg">#REF!</definedName>
    <definedName name="SpcData">#REF!</definedName>
    <definedName name="DclHSCode">#REF!</definedName>
    <definedName name="TotalAmount">#REF!</definedName>
    <definedName name="DclQty">#REF!</definedName>
    <definedName name="InvDate">#REF!</definedName>
    <definedName name="Description">#REF!</definedName>
    <definedName name="InsuranceCurrency">#REF!</definedName>
    <definedName name="TotalDeliveryCurrency">#REF!</definedName>
    <definedName name="DclAmount">#REF!</definedName>
    <definedName name="InsuranceFactureCostProcent">#REF!</definedName>
    <definedName name="InfoTIR">#REF!</definedName>
    <definedName name="DclPrmDesc">#REF!</definedName>
    <definedName name="TotalDutyValue">#REF!</definedName>
    <definedName name="Descr">#REF!</definedName>
    <definedName name="Excel_BuiltIn_Print_Area">#REF!</definedName>
    <definedName name="ot">#REF!</definedName>
    <definedName name="Price">#REF!</definedName>
    <definedName name="DclTMark">#REF!</definedName>
    <definedName name="stoksynch">#REF!</definedName>
    <definedName name="Amount">#REF!</definedName>
    <definedName name="Inv1Data">#REF!</definedName>
    <definedName name="DclData">#REF!</definedName>
    <definedName name="por">#REF!</definedName>
    <definedName name="DclCertTo">#REF!</definedName>
    <definedName name="DclGTDNmb">#REF!</definedName>
    <definedName name="DEIWeghtNT">#REF!</definedName>
    <definedName name="qTemp_Храмцова_Temp">#REF!</definedName>
    <definedName name="CustomPost">#REF!</definedName>
    <definedName name="TotalPayments">#REF!</definedName>
    <definedName name="SpcID">#REF!</definedName>
    <definedName name="DutyCurrency">#REF!</definedName>
    <definedName name="Country">#REF!</definedName>
    <definedName name="OurContract">#REF!</definedName>
    <definedName name="DutySpecial">#REF!</definedName>
    <definedName name="DclProducer">#REF!</definedName>
    <definedName name="InfoInvList">#REF!</definedName>
    <definedName name="CalcConditions">#REF!</definedName>
    <definedName name="TotalClearanceDuty">#REF!</definedName>
    <definedName name="DclHData">#REF!</definedName>
    <definedName name="DeliveryToBoardCurrency">#REF!</definedName>
    <definedName name="Excel_BuiltIn_Database">#REF!</definedName>
    <definedName name="Brutto">#REF!</definedName>
    <definedName name="ExchangeRatesDate">#REF!</definedName>
    <definedName name="TotalFactureCost">#REF!</definedName>
    <definedName name="DclInv">#REF!</definedName>
    <definedName name="IncotermsPlace">#REF!</definedName>
    <definedName name="ProfilePriceKG">#REF!</definedName>
    <definedName name="DTFactPriceKG">#REF!</definedName>
    <definedName name="InfoTruck">#REF!</definedName>
    <definedName name="InfoCertificateList">#REF!</definedName>
    <definedName name="Translation">#REF!</definedName>
    <definedName name="Inv2Data">#REF!</definedName>
    <definedName name="Code4">#REF!</definedName>
    <definedName name="CountOfGoods">#REF!</definedName>
    <definedName name="InvData">#REF!</definedName>
    <definedName name="InvTruck">#REF!</definedName>
    <definedName name="Netto">#REF!</definedName>
    <definedName name="DclQtyUnit">#REF!</definedName>
    <definedName name="Inv1Summary">#REF!</definedName>
    <definedName name="ElectronicDeclarationFlag">#REF!</definedName>
    <definedName name="Pck2Data">#REF!</definedName>
    <definedName name="PaymentsCurrency">#REF!</definedName>
    <definedName name="DclCountry">#REF!</definedName>
    <definedName name="inf_кол_во_мест">#REF!</definedName>
    <definedName name="CountryCode">#REF!</definedName>
    <definedName name="DclCll">#REF!</definedName>
    <definedName name="Trademark">#REF!</definedName>
    <definedName name="TotalNetto">#REF!</definedName>
    <definedName name="DutyMUValue">#REF!</definedName>
    <definedName name="Pck1Data">#REF!</definedName>
    <definedName name="Data">#REF!</definedName>
    <definedName name="OPTFlag">#REF!</definedName>
    <definedName name="USD">#REF!</definedName>
    <definedName name="RequestName">#REF!</definedName>
    <definedName name="DutyMU">#REF!</definedName>
    <definedName name="SORTIR">#REF!</definedName>
    <definedName name="Inv2Summary">#REF!</definedName>
    <definedName name="DclCMR">#REF!</definedName>
    <definedName name="CLL">#REF!</definedName>
    <definedName name="inf_брутто">#REF!</definedName>
    <definedName name="DclInvNmb">#REF!</definedName>
    <definedName name="Line">#REF!</definedName>
    <definedName name="DutyProcent">#REF!</definedName>
    <definedName name="Model">#REF!</definedName>
    <definedName name="IncotermsCode">#REF!</definedName>
    <definedName name="PriceMU">#REF!</definedName>
    <definedName name="InvPIN">#REF!</definedName>
    <definedName name="InfoEURORate">#REF!</definedName>
    <definedName name="nomer_invoice">#REF!</definedName>
    <definedName name="Qty">#REF!</definedName>
    <definedName name="DclCertNmb">#REF!</definedName>
    <definedName name="VATProcent">#REF!</definedName>
    <definedName name="perevod">#REF!</definedName>
    <definedName name="TotalDelivery">#REF!</definedName>
    <definedName name="TotalSpecialDutyValue">#REF!</definedName>
    <definedName name="DclDynDesc">#REF!</definedName>
    <definedName name="Pck1Summary">#REF!</definedName>
    <definedName name="HSCode">#REF!</definedName>
    <definedName name="DclExCll">#REF!</definedName>
    <definedName name="Database">#REF!</definedName>
    <definedName name="Code">#REF!</definedName>
    <definedName name="TotalVatValue">#REF!</definedName>
    <definedName name="DclID">#REF!</definedName>
    <definedName name="DeliveryConditions">#REF!</definedName>
    <definedName name="vet">#REF!</definedName>
    <definedName name="PriceKG">#REF!</definedName>
    <definedName name="CNYRate">#REF!</definedName>
    <definedName name="TotalSPICurrency">#REF!</definedName>
    <definedName name="DutySpecialUSD">#REF!</definedName>
    <definedName name="TotalDutyCurrency">#REF!</definedName>
    <definedName name="InfoRURRate">#REF!</definedName>
    <definedName name="ClientContract">#REF!</definedName>
    <definedName name="DclCllType">#REF!</definedName>
    <definedName name="Weight">#REF!</definedName>
    <definedName name="TotalSPI">#REF!</definedName>
    <definedName name="DutyImp">#REF!</definedName>
    <definedName name="DclArt">#REF!</definedName>
    <definedName name="ContractCurrency">#REF!</definedName>
    <definedName name="mydet">#REF!</definedName>
    <definedName name="Total">#REF!</definedName>
    <definedName name="short">#REF!</definedName>
    <definedName name="TotalVatCurrency">#REF!</definedName>
    <definedName name="DclSort">#REF!</definedName>
    <definedName name="Pck2Summary">#REF!</definedName>
    <definedName name="SVH">#REF!</definedName>
    <definedName name="TotalQTY">#REF!</definedName>
    <definedName name="ProfilePriceMU">#REF!</definedName>
    <definedName name="NonTariff">#REF!</definedName>
    <definedName name="Developer">#REF!</definedName>
    <definedName name="TotalSpecialDutyCurrency">#REF!</definedName>
    <definedName name="InfoCodeList">#REF!</definedName>
    <definedName name="AAAA">#REF!</definedName>
    <definedName name="CalcRemarks">#REF!</definedName>
    <definedName name="DEIWeightBR">#REF!</definedName>
    <definedName name="ExchRatesCurrencyList">#REF!</definedName>
    <definedName name="InvNumber">#REF!</definedName>
    <definedName name="DclExCllType">#REF!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dd\.mm\.yyyy"/>
    <numFmt numFmtId="165" formatCode="#\ ##0_ "/>
    <numFmt numFmtId="166" formatCode="[$¥-478]#\ ##0.00"/>
    <numFmt numFmtId="167" formatCode="#\ ##0.00"/>
    <numFmt numFmtId="168" formatCode="[$¥-478]#\ ##0.000000"/>
    <numFmt numFmtId="169" formatCode="[$$-C09]#,##0.00"/>
    <numFmt numFmtId="170" formatCode="#\ ##0.00&quot; ₽&quot;"/>
    <numFmt numFmtId="171" formatCode="[$¥-478]#\ ##0.0000"/>
    <numFmt numFmtId="172" formatCode="[$¥-804]#\ ##0.00"/>
    <numFmt numFmtId="173" formatCode="&quot;€&quot; #,##0.00"/>
  </numFmts>
  <fonts count="8">
    <font>
      <name val="Arial"/>
      <color indexed="64"/>
      <sz val="10"/>
      <scheme val="minor"/>
    </font>
    <font>
      <name val="Arial"/>
      <color theme="1"/>
      <sz val="11"/>
    </font>
    <font>
      <name val="Arial"/>
      <b val="1"/>
      <color theme="1"/>
      <sz val="11"/>
    </font>
    <font>
      <name val="Arial"/>
      <color indexed="64"/>
      <sz val="11"/>
    </font>
    <font>
      <name val="Arial"/>
      <b val="1"/>
      <color theme="1"/>
      <sz val="11"/>
      <u val="single"/>
    </font>
    <font>
      <name val="Arial"/>
      <b val="1"/>
      <color indexed="64"/>
      <sz val="11"/>
    </font>
    <font>
      <name val="Arial"/>
      <b val="1"/>
      <color indexed="64"/>
      <sz val="11"/>
      <u val="single"/>
    </font>
    <font>
      <name val="Arial"/>
      <color theme="1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164" fontId="3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wrapText="1"/>
    </xf>
    <xf numFmtId="166" fontId="1" fillId="0" borderId="0" applyAlignment="1" pivotButton="0" quotePrefix="0" xfId="0">
      <alignment horizontal="left" vertical="center" wrapText="1"/>
    </xf>
    <xf numFmtId="167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vertical="center"/>
    </xf>
    <xf numFmtId="169" fontId="1" fillId="0" borderId="0" applyAlignment="1" pivotButton="0" quotePrefix="0" xfId="0">
      <alignment horizontal="left" vertical="center"/>
    </xf>
    <xf numFmtId="170" fontId="1" fillId="0" borderId="0" pivotButton="0" quotePrefix="0" xfId="0"/>
    <xf numFmtId="166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71" fontId="1" fillId="0" borderId="0" applyAlignment="1" pivotButton="0" quotePrefix="0" xfId="0">
      <alignment vertical="center"/>
    </xf>
    <xf numFmtId="172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top"/>
    </xf>
    <xf numFmtId="1" fontId="1" fillId="0" borderId="0" applyAlignment="1" pivotButton="0" quotePrefix="0" xfId="0">
      <alignment horizontal="left" vertical="top" wrapText="1"/>
    </xf>
    <xf numFmtId="49" fontId="1" fillId="0" borderId="0" applyAlignment="1" pivotButton="0" quotePrefix="0" xfId="0">
      <alignment horizontal="left" vertical="top" wrapText="1"/>
    </xf>
    <xf numFmtId="173" fontId="1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45</row>
      <rowOff>0</rowOff>
    </from>
    <ext cx="2009775" cy="28575"/>
    <pic>
      <nvPicPr>
        <cNvPr id="0" name="image1.png" descr="Без имени-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600075</colOff>
      <row>44</row>
      <rowOff>19050</rowOff>
    </from>
    <ext cx="1600200" cy="838200"/>
    <pic>
      <nvPicPr>
        <cNvPr id="0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Z1000"/>
  <sheetViews>
    <sheetView zoomScale="100" workbookViewId="0">
      <selection activeCell="A1" activeCellId="0" sqref="A1"/>
    </sheetView>
  </sheetViews>
  <sheetFormatPr baseColWidth="8" defaultColWidth="12.63" defaultRowHeight="15" customHeight="1"/>
  <cols>
    <col width="7.13" customWidth="1" min="1" max="1"/>
    <col width="28.63" customWidth="1" min="2" max="2"/>
    <col width="39.38" customWidth="1" min="3" max="3"/>
    <col width="34" customWidth="1" min="4" max="4"/>
    <col width="24.38" customWidth="1" min="5" max="5"/>
    <col width="29.75" customWidth="1" min="6" max="6"/>
    <col width="21.25" customWidth="1" min="7" max="7"/>
    <col width="9.130000000000001" customWidth="1" min="8" max="26"/>
  </cols>
  <sheetData>
    <row r="1">
      <c r="A1" s="1" t="n">
        <v>11</v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>
      <c r="A2" s="2" t="inlineStr">
        <is>
          <t>PROFORMA INVOICE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3" t="inlineStr">
        <is>
          <t>INVOICE</t>
        </is>
      </c>
      <c r="B3" s="3" t="n"/>
      <c r="C3" s="4" t="inlineStr">
        <is>
          <t>124</t>
        </is>
      </c>
      <c r="D3" s="3" t="n"/>
      <c r="E3" s="3" t="n"/>
      <c r="F3" s="3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>
      <c r="A4" s="3" t="inlineStr">
        <is>
          <t>DATA</t>
        </is>
      </c>
      <c r="B4" s="1" t="n"/>
      <c r="C4" s="5" t="inlineStr">
        <is>
          <t>24.02.2026</t>
        </is>
      </c>
      <c r="D4" s="1" t="n"/>
      <c r="E4" s="3" t="n"/>
      <c r="F4" s="3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8" customHeight="1">
      <c r="A5" s="3" t="inlineStr">
        <is>
          <t>Name and address of the seller:</t>
        </is>
      </c>
      <c r="B5" s="1" t="n"/>
      <c r="C5" s="6" t="inlineStr">
        <is>
          <t>Prodema Trejd DOO</t>
        </is>
      </c>
      <c r="D5" s="6" t="n"/>
      <c r="E5" s="6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>
      <c r="A6" s="1" t="n"/>
      <c r="B6" s="1" t="n"/>
      <c r="C6" s="7" t="inlineStr">
        <is>
          <t>Prodema Trejd DOO</t>
        </is>
      </c>
      <c r="D6" s="1" t="n"/>
      <c r="E6" s="1" t="n"/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>
      <c r="A7" s="1" t="n"/>
      <c r="B7" s="1" t="n"/>
      <c r="C7" s="7" t="inlineStr">
        <is>
          <t>Dr, Ivana Ribara 172, BEOGRAD - NOVI BEOGRAD, 11070 Serbia</t>
        </is>
      </c>
      <c r="D7" s="1" t="n"/>
      <c r="E7" s="1" t="n"/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>
      <c r="A8" s="1" t="n"/>
      <c r="B8" s="1" t="n"/>
      <c r="C8" s="4" t="inlineStr"/>
      <c r="D8" s="1" t="n"/>
      <c r="E8" s="1" t="n"/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>
      <c r="A9" s="1" t="n"/>
      <c r="B9" s="1" t="n"/>
      <c r="C9" s="4" t="inlineStr">
        <is>
          <t xml:space="preserve">Bank add.: </t>
        </is>
      </c>
      <c r="D9" s="1" t="n"/>
      <c r="E9" s="1" t="n"/>
      <c r="F9" s="8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>
      <c r="A10" s="3" t="n"/>
      <c r="B10" s="1" t="n"/>
      <c r="C10" s="9" t="inlineStr">
        <is>
          <t xml:space="preserve">EUR A/C: </t>
        </is>
      </c>
      <c r="D10" s="1" t="n"/>
      <c r="E10" s="6" t="n"/>
      <c r="F10" s="3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>
      <c r="A11" s="3" t="n"/>
      <c r="B11" s="1" t="n"/>
      <c r="C11" s="1" t="inlineStr">
        <is>
          <t xml:space="preserve">SWIFT: </t>
        </is>
      </c>
      <c r="D11" s="1" t="n"/>
      <c r="E11" s="6" t="n"/>
      <c r="F11" s="3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>
      <c r="A12" s="1" t="n"/>
      <c r="B12" s="1" t="n"/>
      <c r="C12" s="1" t="n"/>
      <c r="D12" s="10" t="inlineStr">
        <is>
          <t xml:space="preserve">BY CONTRACT №  dd 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>
      <c r="A13" s="3" t="inlineStr">
        <is>
          <t>Name and address of the buyer:</t>
        </is>
      </c>
      <c r="B13" s="1" t="n"/>
      <c r="C13" s="11" t="inlineStr">
        <is>
          <t>Prodema Trejd DOO</t>
        </is>
      </c>
      <c r="D13" s="6" t="n"/>
      <c r="E13" s="6" t="n"/>
      <c r="F13" s="6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2" t="inlineStr">
        <is>
          <t xml:space="preserve"> Dr, Ivana Ribara 172</t>
        </is>
      </c>
      <c r="D14" s="1" t="n"/>
      <c r="E14" s="13" t="n"/>
      <c r="F14" s="3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>
      <c r="A15" s="1" t="n"/>
      <c r="B15" s="1" t="n"/>
      <c r="C15" s="7" t="inlineStr">
        <is>
          <t>Tax payer ID Number: 113172762</t>
        </is>
      </c>
      <c r="D15" s="1" t="n"/>
      <c r="E15" s="13" t="n"/>
      <c r="F15" s="1" t="n"/>
      <c r="G15" s="1" t="n"/>
      <c r="H15" s="1" t="n"/>
      <c r="I15" s="9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>
      <c r="A16" s="1" t="n"/>
      <c r="B16" s="1" t="n"/>
      <c r="C16" s="7" t="inlineStr"/>
      <c r="D16" s="1" t="n"/>
      <c r="E16" s="13" t="n"/>
      <c r="F16" s="1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>
      <c r="A17" s="1" t="n"/>
      <c r="B17" s="1" t="n"/>
      <c r="C17" s="7" t="inlineStr">
        <is>
          <t xml:space="preserve">Acc EUR </t>
        </is>
      </c>
      <c r="D17" s="3" t="n"/>
      <c r="E17" s="13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2.75" customHeight="1">
      <c r="A18" s="3" t="n"/>
      <c r="B18" s="1" t="n"/>
      <c r="C18" s="7" t="inlineStr">
        <is>
          <t xml:space="preserve">SWIFT: 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2.75" customHeight="1">
      <c r="A19" s="3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32.25" customHeight="1">
      <c r="A20" s="14" t="inlineStr">
        <is>
          <t>Item
№</t>
        </is>
      </c>
      <c r="B20" s="15" t="inlineStr">
        <is>
          <t>Article Number</t>
        </is>
      </c>
      <c r="C20" s="15" t="inlineStr">
        <is>
          <t>Product</t>
        </is>
      </c>
      <c r="D20" s="15" t="inlineStr">
        <is>
          <t>Qty</t>
        </is>
      </c>
      <c r="E20" s="15" t="inlineStr">
        <is>
          <t>Price</t>
        </is>
      </c>
      <c r="F20" s="15" t="inlineStr">
        <is>
          <t>Amount</t>
        </is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51.75" customHeight="1">
      <c r="A21" s="16" t="n">
        <v>1</v>
      </c>
      <c r="B21" s="16" t="inlineStr">
        <is>
          <t>S-6701</t>
        </is>
      </c>
      <c r="C21" s="16" t="inlineStr">
        <is>
          <t xml:space="preserve">Printer parts </t>
        </is>
      </c>
      <c r="D21" s="17" t="n">
        <v>48</v>
      </c>
      <c r="E21" s="18" t="n">
        <v>318.56</v>
      </c>
      <c r="F21" s="18">
        <f>D21*E21</f>
        <v/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33.75" customHeight="1">
      <c r="A22" s="16" t="n">
        <v>2</v>
      </c>
      <c r="B22" s="16" t="inlineStr">
        <is>
          <t>S-6702</t>
        </is>
      </c>
      <c r="C22" s="16" t="inlineStr">
        <is>
          <t xml:space="preserve">Printer parts </t>
        </is>
      </c>
      <c r="D22" s="17" t="n">
        <v>12</v>
      </c>
      <c r="E22" s="18" t="n">
        <v>318.56</v>
      </c>
      <c r="F22" s="18">
        <f>D22*E22</f>
        <v/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33.75" customHeight="1">
      <c r="A23" s="16" t="n">
        <v>3</v>
      </c>
      <c r="B23" s="16" t="inlineStr">
        <is>
          <t>S-6703</t>
        </is>
      </c>
      <c r="C23" s="16" t="inlineStr">
        <is>
          <t xml:space="preserve">Printer parts </t>
        </is>
      </c>
      <c r="D23" s="17" t="n">
        <v>6</v>
      </c>
      <c r="E23" s="18" t="n">
        <v>318.56</v>
      </c>
      <c r="F23" s="18">
        <f>D23*E23</f>
        <v/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33.75" customHeight="1">
      <c r="A24" s="16" t="n">
        <v>4</v>
      </c>
      <c r="B24" s="16" t="inlineStr">
        <is>
          <t>S-6704</t>
        </is>
      </c>
      <c r="C24" s="16" t="inlineStr">
        <is>
          <t xml:space="preserve">Printer parts </t>
        </is>
      </c>
      <c r="D24" s="17" t="n">
        <v>6</v>
      </c>
      <c r="E24" s="18" t="n">
        <v>318.56</v>
      </c>
      <c r="F24" s="18">
        <f>D24*E24</f>
        <v/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33.75" customHeight="1">
      <c r="A25" s="16" t="n">
        <v>5</v>
      </c>
      <c r="B25" s="16" t="inlineStr">
        <is>
          <t>490-20007</t>
        </is>
      </c>
      <c r="C25" s="16" t="inlineStr">
        <is>
          <t xml:space="preserve">Printer parts </t>
        </is>
      </c>
      <c r="D25" s="17" t="n">
        <v>2</v>
      </c>
      <c r="E25" s="18" t="n">
        <v>2525</v>
      </c>
      <c r="F25" s="18">
        <f>D25*E25</f>
        <v/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33.75" customHeight="1">
      <c r="A26" s="16" t="n">
        <v>6</v>
      </c>
      <c r="B26" s="16" t="inlineStr">
        <is>
          <t>019-11834</t>
        </is>
      </c>
      <c r="C26" s="16" t="inlineStr">
        <is>
          <t xml:space="preserve">Printer parts </t>
        </is>
      </c>
      <c r="D26" s="17" t="n">
        <v>4</v>
      </c>
      <c r="E26" s="18" t="n">
        <v>98</v>
      </c>
      <c r="F26" s="18">
        <f>D26*E26</f>
        <v/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33.75" customHeight="1">
      <c r="A27" s="16" t="n">
        <v>7</v>
      </c>
      <c r="B27" s="16" t="inlineStr">
        <is>
          <t>060-64009-107</t>
        </is>
      </c>
      <c r="C27" s="16" t="inlineStr">
        <is>
          <t xml:space="preserve">Printer parts </t>
        </is>
      </c>
      <c r="D27" s="17" t="n">
        <v>2</v>
      </c>
      <c r="E27" s="18" t="n">
        <v>85</v>
      </c>
      <c r="F27" s="18">
        <f>D27*E27</f>
        <v/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33.75" customHeight="1">
      <c r="A28" s="16" t="n">
        <v>8</v>
      </c>
      <c r="B28" s="16" t="inlineStr">
        <is>
          <t>060-64015-107</t>
        </is>
      </c>
      <c r="C28" s="16" t="inlineStr">
        <is>
          <t xml:space="preserve">Printer parts </t>
        </is>
      </c>
      <c r="D28" s="17" t="n">
        <v>2</v>
      </c>
      <c r="E28" s="18" t="n">
        <v>110</v>
      </c>
      <c r="F28" s="18">
        <f>D28*E28</f>
        <v/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33.75" customHeight="1">
      <c r="A29" s="16" t="n">
        <v>9</v>
      </c>
      <c r="B29" s="16" t="inlineStr">
        <is>
          <t>S-7251-CS</t>
        </is>
      </c>
      <c r="C29" s="16" t="inlineStr">
        <is>
          <t xml:space="preserve">Printer paint </t>
        </is>
      </c>
      <c r="D29" s="17" t="n">
        <v>18</v>
      </c>
      <c r="E29" s="18" t="n">
        <v>260</v>
      </c>
      <c r="F29" s="18">
        <f>D29*E29</f>
        <v/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33.75" customHeight="1">
      <c r="A30" s="16" t="n">
        <v>10</v>
      </c>
      <c r="B30" s="16" t="inlineStr">
        <is>
          <t>S-7152-CS</t>
        </is>
      </c>
      <c r="C30" s="16" t="inlineStr">
        <is>
          <t xml:space="preserve">Printer paint </t>
        </is>
      </c>
      <c r="D30" s="17" t="n">
        <v>6</v>
      </c>
      <c r="E30" s="18" t="n">
        <v>260</v>
      </c>
      <c r="F30" s="18">
        <f>D30*E30</f>
        <v/>
      </c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33.75" customHeight="1">
      <c r="A31" s="16" t="n">
        <v>11</v>
      </c>
      <c r="B31" s="16" t="inlineStr">
        <is>
          <t>S-7153-CS</t>
        </is>
      </c>
      <c r="C31" s="16" t="inlineStr">
        <is>
          <t xml:space="preserve">Printer paint </t>
        </is>
      </c>
      <c r="D31" s="17" t="n">
        <v>6</v>
      </c>
      <c r="E31" s="18" t="n">
        <v>260</v>
      </c>
      <c r="F31" s="18">
        <f>D31*E31</f>
        <v/>
      </c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33.75" customHeight="1">
      <c r="A32" s="16" t="n">
        <v>12</v>
      </c>
      <c r="B32" s="16" t="inlineStr">
        <is>
          <t>Neptune 001</t>
        </is>
      </c>
      <c r="C32" s="16" t="inlineStr">
        <is>
          <t>School chair</t>
        </is>
      </c>
      <c r="D32" s="17" t="n">
        <v>349</v>
      </c>
      <c r="E32" s="18" t="n">
        <v>125</v>
      </c>
      <c r="F32" s="18">
        <f>D32*E32</f>
        <v/>
      </c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33.75" customHeight="1">
      <c r="A33" s="16" t="n">
        <v>13</v>
      </c>
      <c r="B33" s="16" t="inlineStr">
        <is>
          <t>RMZ 005</t>
        </is>
      </c>
      <c r="C33" s="16" t="inlineStr">
        <is>
          <t>Auditorium
chair</t>
        </is>
      </c>
      <c r="D33" s="17" t="n">
        <v>207</v>
      </c>
      <c r="E33" s="18">
        <f>F33/D33</f>
        <v/>
      </c>
      <c r="F33" s="18" t="n">
        <v>96245</v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33.75" customHeight="1">
      <c r="A34" s="16" t="n">
        <v>14</v>
      </c>
      <c r="B34" s="16" t="inlineStr">
        <is>
          <t>Portcase KCB-162 Black</t>
        </is>
      </c>
      <c r="C34" s="16" t="inlineStr">
        <is>
          <t xml:space="preserve">laptop bag </t>
        </is>
      </c>
      <c r="D34" s="17" t="n">
        <v>1005</v>
      </c>
      <c r="E34" s="18">
        <f>F34/D34</f>
        <v/>
      </c>
      <c r="F34" s="18" t="n">
        <v>19796.49</v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33.75" customHeight="1">
      <c r="A35" s="16" t="n">
        <v>15</v>
      </c>
      <c r="B35" s="16" t="inlineStr">
        <is>
          <t>Portcase KCB-162 Grey</t>
        </is>
      </c>
      <c r="C35" s="16" t="inlineStr">
        <is>
          <t xml:space="preserve">laptop bag </t>
        </is>
      </c>
      <c r="D35" s="17" t="n">
        <v>1005</v>
      </c>
      <c r="E35" s="18">
        <f>F35/D35</f>
        <v/>
      </c>
      <c r="F35" s="18" t="n">
        <v>19796.49</v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33.75" customHeight="1">
      <c r="A36" s="16" t="n">
        <v>16</v>
      </c>
      <c r="B36" s="16" t="inlineStr">
        <is>
          <t>Portcase KCB-165 Black</t>
        </is>
      </c>
      <c r="C36" s="16" t="inlineStr">
        <is>
          <t xml:space="preserve">laptop bag </t>
        </is>
      </c>
      <c r="D36" s="17" t="n">
        <v>500</v>
      </c>
      <c r="E36" s="18">
        <f>F36/D36</f>
        <v/>
      </c>
      <c r="F36" s="18" t="n">
        <v>9744</v>
      </c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33.75" customHeight="1">
      <c r="A37" s="16" t="n">
        <v>17</v>
      </c>
      <c r="B37" s="16" t="inlineStr">
        <is>
          <t>Portcase KCB-165 Grey</t>
        </is>
      </c>
      <c r="C37" s="16" t="inlineStr">
        <is>
          <t xml:space="preserve">laptop bag </t>
        </is>
      </c>
      <c r="D37" s="17" t="n">
        <v>500</v>
      </c>
      <c r="E37" s="18">
        <f>F37/D37</f>
        <v/>
      </c>
      <c r="F37" s="18" t="n">
        <v>9744</v>
      </c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33.75" customHeight="1">
      <c r="A38" s="16" t="n">
        <v>18</v>
      </c>
      <c r="B38" s="16" t="inlineStr">
        <is>
          <t>Portcase KCB-165 Bordo</t>
        </is>
      </c>
      <c r="C38" s="16" t="inlineStr">
        <is>
          <t xml:space="preserve">laptop bag </t>
        </is>
      </c>
      <c r="D38" s="17" t="n">
        <v>500</v>
      </c>
      <c r="E38" s="18">
        <f>F38/D38</f>
        <v/>
      </c>
      <c r="F38" s="18" t="n">
        <v>9744</v>
      </c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33.75" customHeight="1">
      <c r="A39" s="16" t="n">
        <v>19</v>
      </c>
      <c r="B39" s="16" t="inlineStr">
        <is>
          <t xml:space="preserve"> Continent CC-107 Bk</t>
        </is>
      </c>
      <c r="C39" s="16" t="inlineStr">
        <is>
          <t xml:space="preserve">laptop bag </t>
        </is>
      </c>
      <c r="D39" s="17" t="n">
        <v>4000</v>
      </c>
      <c r="E39" s="18">
        <f>F39/D39</f>
        <v/>
      </c>
      <c r="F39" s="18" t="n">
        <v>67620</v>
      </c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33.75" customHeight="1">
      <c r="A40" s="16" t="n">
        <v>20</v>
      </c>
      <c r="B40" s="16" t="inlineStr">
        <is>
          <t>Continent CC-107 Gr</t>
        </is>
      </c>
      <c r="C40" s="16" t="inlineStr">
        <is>
          <t xml:space="preserve">laptop bag </t>
        </is>
      </c>
      <c r="D40" s="17" t="n">
        <v>3500</v>
      </c>
      <c r="E40" s="18">
        <f>F40/D40</f>
        <v/>
      </c>
      <c r="F40" s="18" t="n">
        <v>59167.5</v>
      </c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33.75" customHeight="1">
      <c r="A41" s="19" t="n"/>
      <c r="B41" s="19" t="n"/>
      <c r="C41" s="19" t="n"/>
      <c r="D41" s="20" t="inlineStr">
        <is>
          <t>TOTAL</t>
        </is>
      </c>
      <c r="E41" s="21" t="n"/>
      <c r="F41" s="35" t="n">
        <v>14708.48</v>
      </c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24.75" customHeight="1">
      <c r="A42" s="1" t="n"/>
      <c r="B42" s="1" t="n"/>
      <c r="C42" s="1" t="n"/>
      <c r="D42" s="23" t="n"/>
      <c r="E42" s="1" t="inlineStr">
        <is>
          <t>Exchange rate</t>
        </is>
      </c>
      <c r="F42" s="24" t="n">
        <v>7.25</v>
      </c>
      <c r="G42" s="25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6.5" customHeight="1">
      <c r="A43" s="1" t="n"/>
      <c r="B43" s="1" t="n"/>
      <c r="C43" s="1" t="n"/>
      <c r="D43" s="23" t="n"/>
      <c r="E43" s="1" t="inlineStr">
        <is>
          <t>Payment amount</t>
        </is>
      </c>
      <c r="F43" s="26" t="n"/>
      <c r="G43" s="27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>
      <c r="A44" s="1" t="n"/>
      <c r="B44" s="8" t="n"/>
      <c r="C44" s="28" t="n"/>
      <c r="D44" s="28" t="n"/>
      <c r="E44" s="3" t="inlineStr">
        <is>
          <t>COUNTRY OF ORIGIN: CHINA</t>
        </is>
      </c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>
      <c r="A45" s="1" t="n"/>
      <c r="B45" s="4" t="n"/>
      <c r="C45" s="1" t="n"/>
      <c r="D45" s="1" t="n"/>
      <c r="E45" s="29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7.25" customHeight="1">
      <c r="A46" s="1" t="n"/>
      <c r="B46" s="4" t="n"/>
      <c r="C46" s="1" t="n"/>
      <c r="D46" s="28" t="n"/>
      <c r="E46" s="29" t="n"/>
      <c r="F46" s="30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7.25" customHeight="1">
      <c r="A47" s="1" t="n"/>
      <c r="B47" s="4" t="n"/>
      <c r="C47" s="1" t="n"/>
      <c r="D47" s="28" t="n"/>
      <c r="E47" s="31" t="n"/>
      <c r="F47" s="30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22.5" customHeight="1">
      <c r="A48" s="1" t="n"/>
      <c r="B48" s="4" t="n"/>
      <c r="C48" s="1" t="n"/>
      <c r="D48" s="28" t="n"/>
      <c r="E48" s="31" t="n"/>
      <c r="F48" s="3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>
      <c r="A49" s="1" t="n"/>
      <c r="B49" s="4" t="n"/>
      <c r="C49" s="32" t="n"/>
      <c r="D49" s="1" t="n"/>
      <c r="E49" s="3" t="inlineStr">
        <is>
          <t xml:space="preserve">Director:                   Chen Weishun      </t>
        </is>
      </c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>
      <c r="A50" s="1" t="n"/>
      <c r="B50" s="4" t="n"/>
      <c r="C50" s="9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>
      <c r="A51" s="1" t="n"/>
      <c r="B51" s="4" t="n"/>
      <c r="C51" s="9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>
      <c r="A52" s="1" t="n"/>
      <c r="B52" s="4" t="n"/>
      <c r="C52" s="33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>
      <c r="A53" s="1" t="n"/>
      <c r="B53" s="4" t="n"/>
      <c r="C53" s="34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F2"/>
  </mergeCells>
  <printOptions headings="0" gridLines="0"/>
  <pageMargins left="0.275694444444444" right="0.157638888888889" top="0.196527777777778" bottom="0.314583333333333" header="0" footer="0"/>
  <pageSetup orientation="portrait" paperSize="9" scale="100" fitToHeight="1" fitToWidth="1" useFirstPageNumber="0" pageOrder="downThenOver" usePrinterDefaults="1" blackAndWhite="0" draft="0" errors="displayed" horizontalDpi="600" verticalDpi="600" copies="1"/>
  <headerFooter>
    <oddHeader/>
    <oddFooter>&amp;C&amp;P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Анастасия Пономарёва</dc:creator>
  <dcterms:created xmlns:dcterms="http://purl.org/dc/terms/" xmlns:xsi="http://www.w3.org/2001/XMLSchema-instance" xsi:type="dcterms:W3CDTF">2014-06-20T06:53:00Z</dcterms:created>
  <dcterms:modified xmlns:dcterms="http://purl.org/dc/terms/" xmlns:xsi="http://www.w3.org/2001/XMLSchema-instance" xsi:type="dcterms:W3CDTF">2026-02-24T06:41:03Z</dcterms:modified>
  <cp:lastModifiedBy>InvTempl</cp:lastModifiedBy>
  <cp:revision>1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313B4371C39842EA9E235DD69242F449_13</vt:lpwstr>
  </property>
  <property name="KSOProductBuildVer" fmtid="{D5CDD505-2E9C-101B-9397-08002B2CF9AE}" pid="3">
    <vt:lpwstr xmlns:vt="http://schemas.openxmlformats.org/officeDocument/2006/docPropsVTypes">1033-12.2.0.18639</vt:lpwstr>
  </property>
</Properties>
</file>